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R CCI Monthly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<sst xmlns="http://schemas.openxmlformats.org/spreadsheetml/2006/main" count="37" uniqueCount="37">
  <si>
    <t xml:space="preserve">ENR Construction Cost Index (CCI) - Historical Data</t>
  </si>
  <si>
    <t xml:space="preserve">20-City Average Construction Cost Index (Base: 1913 = $100) - 1929-2025</t>
  </si>
  <si>
    <t xml:space="preserve">Year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</si>
  <si>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</si>
  <si>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</si>
  <si>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</si>
  <si>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</si>
  <si>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</si>
  <si>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</si>
  <si>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</si>
  <si>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</si>
  <si>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</si>
  <si>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</si>
  <si>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</si>
  <si>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</si>
  <si>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Annual_Avg</t>
  </si>
  <si>
    <t xml:space="preserve">Pct_Change</t>
  </si>
  <si>
    <t xml:space="preserve">https://www.enr.com/economics/historical_indices/construction_cost_index_history</t>
  </si>
  <si>
    <t xml:space="preserve">METHODOLOGY:</t>
  </si>
  <si>
    <t xml:space="preserve">Components:</t>
  </si>
  <si>
    <t xml:space="preserve">200 hours common labor + 25 cwt structural steel + 1.128 tons portland cement + 1,088 board-ft 2x4 lumber</t>
  </si>
  <si>
    <t xml:space="preserve">Base Year:</t>
  </si>
  <si>
    <t xml:space="preserve">1913 = $100</t>
  </si>
  <si>
    <t xml:space="preserve">Coverage:</t>
  </si>
  <si>
    <t xml:space="preserve">20-city average (national representative sample)</t>
  </si>
  <si>
    <t xml:space="preserve">Update:</t>
  </si>
  <si>
    <t xml:space="preserve">Published monthly in first week of each month</t>
  </si>
  <si>
    <t xml:space="preserve">DATA AVAILABILITY:</t>
  </si>
  <si>
    <t xml:space="preserve">Years 1929-1988:</t>
  </si>
  <si>
    <t xml:space="preserve">Annual averages only (monthly data not published by ENR)</t>
  </si>
  <si>
    <t xml:space="preserve">Years 1989-2025:</t>
  </si>
  <si>
    <t xml:space="preserve">Monthly data; 1989 begins mid-year (June)</t>
  </si>
  <si>
    <t xml:space="preserve">CONTACT:</t>
  </si>
  <si>
    <t xml:space="preserve">For current data:</t>
  </si>
  <si>
    <t xml:space="preserve">ENR Economics Editor - zevina@enr.com - (646) 849-7117</t>
  </si>
  <si>
    <t xml:space="preserve">UPDATE:</t>
  </si>
  <si>
    <t xml:space="preserve">Full monthly series 2004-2025 and annual averages 1929-2025 sourced from ENR 1Q 2026 Cost Report (March 30, 2026), pg. 77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</si>
</sst>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#,##0"/>
    <numFmt numFmtId="167" formatCode="0.0%;\(0.0%\);\-"/>
    <numFmt numFmtId="168" formatCode="0.0"/>
    <numFmt numFmtId="169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  <charset val="1"/>
    </font>
    <font>
      <i val="true"/>
      <sz val="10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sz val="10"/>
      <name val="Arial"/>
      <family val="2"/>
      <charset val="1"/>
    </font>
    <font>
      <b val="true"/>
      <u val="single"/>
      <sz val="11"/>
      <color theme="1"/>
      <name val="Calibri"/>
      <family val="2"/>
      <charset val="1"/>
    </font>
    <font>
      <b val="true"/>
      <sz val="9"/>
      <name val="Arial"/>
      <family val="2"/>
      <charset val="1"/>
    </font>
    <font>
      <sz val="9"/>
      <name val="Arial"/>
      <family val="2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788"/>
        <bgColor rgb="FF2C5AA0"/>
      </patternFill>
    </fill>
    <fill>
      <patternFill patternType="solid">
        <fgColor rgb="FF2C5AA0"/>
        <bgColor rgb="FF1F4788"/>
      </patternFill>
    </fill>
    <fill>
      <patternFill patternType="solid">
        <fgColor rgb="FFF5F5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F5F5"/>
      <rgbColor rgb="FFCCFFFF"/>
      <rgbColor rgb="FF660066"/>
      <rgbColor rgb="FFFF8080"/>
      <rgbColor rgb="FF2C5AA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78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31" activePane="bottomLeft" state="frozen"/>
      <selection pane="topLeft" activeCell="A1" activeCellId="0" sqref="A1"/>
      <selection pane="bottomLeft" activeCell="V42" activeCellId="0" sqref="V42"/>
    </sheetView>
  </sheetViews>
  <sheetFormatPr defaultColWidth="8.6796875" defaultRowHeight="14.25" zeroHeight="false" outlineLevelRow="0" outlineLevelCol="0"/>
  <cols>
    <col collapsed="false" customWidth="true" hidden="false" outlineLevel="0" max="2" min="1" style="1" width="8"/>
    <col collapsed="false" customWidth="true" hidden="true" outlineLevel="0" max="12" min="3" style="1" width="8"/>
    <col collapsed="false" customWidth="true" hidden="false" outlineLevel="0" max="13" min="13" style="1" width="8"/>
    <col collapsed="false" customWidth="true" hidden="false" outlineLevel="0" max="15" min="14" style="1" width="12"/>
    <col collapsed="false" customWidth="true" hidden="false" outlineLevel="0" max="16" min="16" style="1" width="9.56"/>
  </cols>
  <sheetData>
    <row r="1" customFormat="false" ht="14.25" hidden="false" customHeight="false" outlineLevel="0" collapsed="false">
      <c r="A1" s="2" t="s">
        <v>0</v>
      </c>
    </row>
    <row r="2" customFormat="false" ht="14.25" hidden="false" customHeight="false" outlineLevel="0" collapsed="false">
      <c r="A2" s="3" t="s">
        <v>1</v>
      </c>
    </row>
    <row r="4" customFormat="false" ht="14.2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</row>
    <row r="5" customFormat="false" ht="14.25" hidden="false" customHeight="false" outlineLevel="0" collapsed="false">
      <c r="A5" s="5" t="n">
        <v>1929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 t="n">
        <v>207</v>
      </c>
      <c r="O5" s="7"/>
    </row>
    <row r="6" customFormat="false" ht="14.25" hidden="false" customHeight="false" outlineLevel="0" collapsed="false">
      <c r="A6" s="5" t="n">
        <v>1930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 t="n">
        <v>203</v>
      </c>
      <c r="O6" s="7" t="n">
        <f aca="false">(N6-N5)/N5</f>
        <v>-0.0193236714975845</v>
      </c>
    </row>
    <row r="7" customFormat="false" ht="14.25" hidden="false" customHeight="false" outlineLevel="0" collapsed="false">
      <c r="A7" s="5" t="n">
        <v>1931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 t="n">
        <v>181</v>
      </c>
      <c r="O7" s="7" t="n">
        <f aca="false">(N7-N6)/N6</f>
        <v>-0.108374384236453</v>
      </c>
    </row>
    <row r="8" customFormat="false" ht="14.25" hidden="false" customHeight="false" outlineLevel="0" collapsed="false">
      <c r="A8" s="5" t="n">
        <v>1932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 t="n">
        <v>157</v>
      </c>
      <c r="O8" s="7" t="n">
        <f aca="false">(N8-N7)/N7</f>
        <v>-0.132596685082873</v>
      </c>
    </row>
    <row r="9" customFormat="false" ht="14.25" hidden="false" customHeight="false" outlineLevel="0" collapsed="false">
      <c r="A9" s="5" t="n">
        <v>1933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 t="n">
        <v>170</v>
      </c>
      <c r="O9" s="7" t="n">
        <f aca="false">(N9-N8)/N8</f>
        <v>0.0828025477707006</v>
      </c>
    </row>
    <row r="10" customFormat="false" ht="14.25" hidden="false" customHeight="false" outlineLevel="0" collapsed="false">
      <c r="A10" s="5" t="n">
        <v>1934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 t="n">
        <v>198</v>
      </c>
      <c r="O10" s="7" t="n">
        <f aca="false">(N10-N9)/N9</f>
        <v>0.164705882352941</v>
      </c>
    </row>
    <row r="11" customFormat="false" ht="14.25" hidden="false" customHeight="false" outlineLevel="0" collapsed="false">
      <c r="A11" s="5" t="n">
        <v>1935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 t="n">
        <v>196</v>
      </c>
      <c r="O11" s="7" t="n">
        <f aca="false">(N11-N10)/N10</f>
        <v>-0.0101010101010101</v>
      </c>
    </row>
    <row r="12" customFormat="false" ht="14.25" hidden="false" customHeight="false" outlineLevel="0" collapsed="false">
      <c r="A12" s="5" t="n">
        <v>1936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 t="n">
        <v>206</v>
      </c>
      <c r="O12" s="7" t="n">
        <f aca="false">(N12-N11)/N11</f>
        <v>0.0510204081632653</v>
      </c>
    </row>
    <row r="13" customFormat="false" ht="14.25" hidden="false" customHeight="false" outlineLevel="0" collapsed="false">
      <c r="A13" s="5" t="n">
        <v>1937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 t="n">
        <v>235</v>
      </c>
      <c r="O13" s="7" t="n">
        <f aca="false">(N13-N12)/N12</f>
        <v>0.140776699029126</v>
      </c>
    </row>
    <row r="14" customFormat="false" ht="14.25" hidden="false" customHeight="false" outlineLevel="0" collapsed="false">
      <c r="A14" s="5" t="n">
        <v>1938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 t="n">
        <v>236</v>
      </c>
      <c r="O14" s="7" t="n">
        <f aca="false">(N14-N13)/N13</f>
        <v>0.00425531914893617</v>
      </c>
    </row>
    <row r="15" customFormat="false" ht="14.25" hidden="false" customHeight="false" outlineLevel="0" collapsed="false">
      <c r="A15" s="5" t="n">
        <v>1939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 t="n">
        <v>236</v>
      </c>
      <c r="O15" s="7" t="n">
        <f aca="false">(N15-N14)/N14</f>
        <v>0</v>
      </c>
    </row>
    <row r="16" customFormat="false" ht="14.25" hidden="false" customHeight="false" outlineLevel="0" collapsed="false">
      <c r="A16" s="5" t="n">
        <v>1940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 t="n">
        <v>242</v>
      </c>
      <c r="O16" s="7" t="n">
        <f aca="false">(N16-N15)/N15</f>
        <v>0.0254237288135593</v>
      </c>
    </row>
    <row r="17" customFormat="false" ht="14.25" hidden="false" customHeight="false" outlineLevel="0" collapsed="false">
      <c r="A17" s="5" t="n">
        <v>1941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 t="n">
        <v>258</v>
      </c>
      <c r="O17" s="7" t="n">
        <f aca="false">(N17-N16)/N16</f>
        <v>0.0661157024793388</v>
      </c>
    </row>
    <row r="18" customFormat="false" ht="14.25" hidden="false" customHeight="false" outlineLevel="0" collapsed="false">
      <c r="A18" s="5" t="n">
        <v>1942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 t="n">
        <v>276</v>
      </c>
      <c r="O18" s="7" t="n">
        <f aca="false">(N18-N17)/N17</f>
        <v>0.0697674418604651</v>
      </c>
    </row>
    <row r="19" customFormat="false" ht="14.25" hidden="false" customHeight="false" outlineLevel="0" collapsed="false">
      <c r="A19" s="5" t="n">
        <v>1943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 t="n">
        <v>290</v>
      </c>
      <c r="O19" s="7" t="n">
        <f aca="false">(N19-N18)/N18</f>
        <v>0.0507246376811594</v>
      </c>
    </row>
    <row r="20" customFormat="false" ht="14.25" hidden="false" customHeight="false" outlineLevel="0" collapsed="false">
      <c r="A20" s="5" t="n">
        <v>1944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 t="n">
        <v>299</v>
      </c>
      <c r="O20" s="7" t="n">
        <f aca="false">(N20-N19)/N19</f>
        <v>0.0310344827586207</v>
      </c>
    </row>
    <row r="21" customFormat="false" ht="14.25" hidden="false" customHeight="false" outlineLevel="0" collapsed="false">
      <c r="A21" s="5" t="n">
        <v>1945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 t="n">
        <v>308</v>
      </c>
      <c r="O21" s="7" t="n">
        <f aca="false">(N21-N20)/N20</f>
        <v>0.0301003344481605</v>
      </c>
    </row>
    <row r="22" customFormat="false" ht="14.25" hidden="false" customHeight="false" outlineLevel="0" collapsed="false">
      <c r="A22" s="5" t="n">
        <v>1946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 t="n">
        <v>346</v>
      </c>
      <c r="O22" s="7" t="n">
        <f aca="false">(N22-N21)/N21</f>
        <v>0.123376623376623</v>
      </c>
    </row>
    <row r="23" customFormat="false" ht="14.25" hidden="false" customHeight="false" outlineLevel="0" collapsed="false">
      <c r="A23" s="5" t="n">
        <v>1947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 t="n">
        <v>413</v>
      </c>
      <c r="O23" s="7" t="n">
        <f aca="false">(N23-N22)/N22</f>
        <v>0.19364161849711</v>
      </c>
    </row>
    <row r="24" customFormat="false" ht="14.25" hidden="false" customHeight="false" outlineLevel="0" collapsed="false">
      <c r="A24" s="5" t="n">
        <v>1948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 t="n">
        <v>461</v>
      </c>
      <c r="O24" s="7" t="n">
        <f aca="false">(N24-N23)/N23</f>
        <v>0.116222760290557</v>
      </c>
      <c r="P24" s="8"/>
    </row>
    <row r="25" customFormat="false" ht="14.25" hidden="false" customHeight="false" outlineLevel="0" collapsed="false">
      <c r="A25" s="5" t="n">
        <v>1949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 t="n">
        <v>477</v>
      </c>
      <c r="O25" s="9" t="n">
        <f aca="false">(N25-N24)/N24</f>
        <v>0.03470715835141</v>
      </c>
      <c r="P25" s="8"/>
    </row>
    <row r="26" customFormat="false" ht="14.25" hidden="false" customHeight="false" outlineLevel="0" collapsed="false">
      <c r="A26" s="5" t="n">
        <v>1950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 t="n">
        <v>510</v>
      </c>
      <c r="O26" s="9" t="n">
        <f aca="false">(N26-N25)/N25</f>
        <v>0.0691823899371069</v>
      </c>
      <c r="P26" s="8"/>
    </row>
    <row r="27" customFormat="false" ht="14.25" hidden="false" customHeight="false" outlineLevel="0" collapsed="false">
      <c r="A27" s="5" t="n">
        <v>1951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 t="n">
        <v>543</v>
      </c>
      <c r="O27" s="9" t="n">
        <f aca="false">(N27-N26)/N26</f>
        <v>0.0647058823529412</v>
      </c>
      <c r="P27" s="8"/>
    </row>
    <row r="28" customFormat="false" ht="14.25" hidden="false" customHeight="false" outlineLevel="0" collapsed="false">
      <c r="A28" s="5" t="n">
        <v>1952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 t="n">
        <v>569</v>
      </c>
      <c r="O28" s="9" t="n">
        <f aca="false">(N28-N27)/N27</f>
        <v>0.0478821362799263</v>
      </c>
      <c r="P28" s="8"/>
    </row>
    <row r="29" customFormat="false" ht="14.25" hidden="false" customHeight="false" outlineLevel="0" collapsed="false">
      <c r="A29" s="5" t="n">
        <v>1953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 t="n">
        <v>600</v>
      </c>
      <c r="O29" s="9" t="n">
        <f aca="false">(N29-N28)/N28</f>
        <v>0.054481546572935</v>
      </c>
    </row>
    <row r="30" customFormat="false" ht="14.25" hidden="false" customHeight="false" outlineLevel="0" collapsed="false">
      <c r="A30" s="5" t="n">
        <v>1954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 t="n">
        <v>628</v>
      </c>
      <c r="O30" s="9" t="n">
        <f aca="false">(N30-N29)/N29</f>
        <v>0.0466666666666667</v>
      </c>
    </row>
    <row r="31" customFormat="false" ht="14.25" hidden="false" customHeight="false" outlineLevel="0" collapsed="false">
      <c r="A31" s="5" t="n">
        <v>1955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 t="n">
        <v>660</v>
      </c>
      <c r="O31" s="9" t="n">
        <f aca="false">(N31-N30)/N30</f>
        <v>0.0509554140127389</v>
      </c>
    </row>
    <row r="32" customFormat="false" ht="14.25" hidden="false" customHeight="false" outlineLevel="0" collapsed="false">
      <c r="A32" s="5" t="n">
        <v>1956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 t="n">
        <v>692</v>
      </c>
      <c r="O32" s="9" t="n">
        <f aca="false">(N32-N31)/N31</f>
        <v>0.0484848484848485</v>
      </c>
    </row>
    <row r="33" customFormat="false" ht="14.25" hidden="false" customHeight="false" outlineLevel="0" collapsed="false">
      <c r="A33" s="5" t="n">
        <v>1957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 t="n">
        <v>724</v>
      </c>
      <c r="O33" s="9" t="n">
        <f aca="false">(N33-N32)/N32</f>
        <v>0.046242774566474</v>
      </c>
    </row>
    <row r="34" customFormat="false" ht="14.25" hidden="false" customHeight="false" outlineLevel="0" collapsed="false">
      <c r="A34" s="5" t="n">
        <v>1958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 t="n">
        <v>759</v>
      </c>
      <c r="O34" s="9" t="n">
        <f aca="false">(N34-N33)/N33</f>
        <v>0.0483425414364641</v>
      </c>
    </row>
    <row r="35" customFormat="false" ht="14.25" hidden="false" customHeight="false" outlineLevel="0" collapsed="false">
      <c r="A35" s="5" t="n">
        <v>1959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 t="n">
        <v>797</v>
      </c>
      <c r="O35" s="9" t="n">
        <f aca="false">(N35-N34)/N34</f>
        <v>0.0500658761528327</v>
      </c>
    </row>
    <row r="36" customFormat="false" ht="14.25" hidden="false" customHeight="false" outlineLevel="0" collapsed="false">
      <c r="A36" s="5" t="n">
        <v>1960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 t="n">
        <v>824</v>
      </c>
      <c r="O36" s="9" t="n">
        <f aca="false">(N36-N35)/N35</f>
        <v>0.0338770388958595</v>
      </c>
    </row>
    <row r="37" customFormat="false" ht="14.25" hidden="false" customHeight="false" outlineLevel="0" collapsed="false">
      <c r="A37" s="5" t="n">
        <v>1961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 t="n">
        <v>847</v>
      </c>
      <c r="O37" s="9" t="n">
        <f aca="false">(N37-N36)/N36</f>
        <v>0.0279126213592233</v>
      </c>
    </row>
    <row r="38" customFormat="false" ht="14.25" hidden="false" customHeight="false" outlineLevel="0" collapsed="false">
      <c r="A38" s="5" t="n">
        <v>1962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 t="n">
        <v>872</v>
      </c>
      <c r="O38" s="9" t="n">
        <f aca="false">(N38-N37)/N37</f>
        <v>0.0295159386068477</v>
      </c>
    </row>
    <row r="39" customFormat="false" ht="14.25" hidden="false" customHeight="false" outlineLevel="0" collapsed="false">
      <c r="A39" s="5" t="n">
        <v>1963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 t="n">
        <v>901</v>
      </c>
      <c r="O39" s="9" t="n">
        <f aca="false">(N39-N38)/N38</f>
        <v>0.033256880733945</v>
      </c>
    </row>
    <row r="40" customFormat="false" ht="14.25" hidden="false" customHeight="false" outlineLevel="0" collapsed="false">
      <c r="A40" s="5" t="n">
        <v>1964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 t="n">
        <v>936</v>
      </c>
      <c r="O40" s="9" t="n">
        <f aca="false">(N40-N39)/N39</f>
        <v>0.0388457269700333</v>
      </c>
    </row>
    <row r="41" customFormat="false" ht="14.25" hidden="false" customHeight="false" outlineLevel="0" collapsed="false">
      <c r="A41" s="5" t="n">
        <v>1965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 t="n">
        <v>971</v>
      </c>
      <c r="O41" s="9" t="n">
        <f aca="false">(N41-N40)/N40</f>
        <v>0.0373931623931624</v>
      </c>
    </row>
    <row r="42" customFormat="false" ht="14.25" hidden="false" customHeight="false" outlineLevel="0" collapsed="false">
      <c r="A42" s="5" t="n">
        <v>1966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 t="n">
        <v>1019</v>
      </c>
      <c r="O42" s="7" t="n">
        <f aca="false">(N42-N41)/N41</f>
        <v>0.0494335736354274</v>
      </c>
    </row>
    <row r="43" customFormat="false" ht="14.25" hidden="false" customHeight="false" outlineLevel="0" collapsed="false">
      <c r="A43" s="5" t="n">
        <v>1967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 t="n">
        <v>1074</v>
      </c>
      <c r="O43" s="7" t="n">
        <f aca="false">(N43-N42)/N42</f>
        <v>0.0539744847890088</v>
      </c>
    </row>
    <row r="44" customFormat="false" ht="14.25" hidden="false" customHeight="false" outlineLevel="0" collapsed="false">
      <c r="A44" s="5" t="n">
        <v>1968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 t="n">
        <v>1155</v>
      </c>
      <c r="O44" s="7" t="n">
        <f aca="false">(N44-N43)/N43</f>
        <v>0.0754189944134078</v>
      </c>
    </row>
    <row r="45" customFormat="false" ht="14.25" hidden="false" customHeight="false" outlineLevel="0" collapsed="false">
      <c r="A45" s="5" t="n">
        <v>1969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 t="n">
        <v>1269</v>
      </c>
      <c r="O45" s="7" t="n">
        <f aca="false">(N45-N44)/N44</f>
        <v>0.0987012987012987</v>
      </c>
    </row>
    <row r="46" customFormat="false" ht="14.25" hidden="false" customHeight="false" outlineLevel="0" collapsed="false">
      <c r="A46" s="5" t="n">
        <v>1970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 t="n">
        <v>1381</v>
      </c>
      <c r="O46" s="7" t="n">
        <f aca="false">(N46-N45)/N45</f>
        <v>0.0882584712371946</v>
      </c>
    </row>
    <row r="47" customFormat="false" ht="14.25" hidden="false" customHeight="false" outlineLevel="0" collapsed="false">
      <c r="A47" s="5" t="n">
        <v>1971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 t="n">
        <v>1581</v>
      </c>
      <c r="O47" s="7" t="n">
        <f aca="false">(N47-N46)/N46</f>
        <v>0.144822592324403</v>
      </c>
    </row>
    <row r="48" customFormat="false" ht="14.25" hidden="false" customHeight="false" outlineLevel="0" collapsed="false">
      <c r="A48" s="5" t="n">
        <v>1972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 t="n">
        <v>1753</v>
      </c>
      <c r="O48" s="7" t="n">
        <f aca="false">(N48-N47)/N47</f>
        <v>0.108791903858318</v>
      </c>
    </row>
    <row r="49" customFormat="false" ht="14.25" hidden="false" customHeight="false" outlineLevel="0" collapsed="false">
      <c r="A49" s="5" t="n">
        <v>1973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 t="n">
        <v>1895</v>
      </c>
      <c r="O49" s="7" t="n">
        <f aca="false">(N49-N48)/N48</f>
        <v>0.0810039931545921</v>
      </c>
    </row>
    <row r="50" customFormat="false" ht="14.25" hidden="false" customHeight="false" outlineLevel="0" collapsed="false">
      <c r="A50" s="5" t="n">
        <v>1974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 t="n">
        <v>2020</v>
      </c>
      <c r="O50" s="7" t="n">
        <f aca="false">(N50-N49)/N49</f>
        <v>0.0659630606860158</v>
      </c>
    </row>
    <row r="51" customFormat="false" ht="14.25" hidden="false" customHeight="false" outlineLevel="0" collapsed="false">
      <c r="A51" s="5" t="n">
        <v>1975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 t="n">
        <v>2212</v>
      </c>
      <c r="O51" s="7" t="n">
        <f aca="false">(N51-N50)/N50</f>
        <v>0.0950495049504951</v>
      </c>
    </row>
    <row r="52" customFormat="false" ht="14.25" hidden="false" customHeight="false" outlineLevel="0" collapsed="false">
      <c r="A52" s="5" t="n">
        <v>1976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 t="n">
        <v>2401</v>
      </c>
      <c r="O52" s="7" t="n">
        <f aca="false">(N52-N51)/N51</f>
        <v>0.0854430379746835</v>
      </c>
    </row>
    <row r="53" customFormat="false" ht="14.25" hidden="false" customHeight="false" outlineLevel="0" collapsed="false">
      <c r="A53" s="5" t="n">
        <v>1977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 t="n">
        <v>2576</v>
      </c>
      <c r="O53" s="7" t="n">
        <f aca="false">(N53-N52)/N52</f>
        <v>0.0728862973760933</v>
      </c>
    </row>
    <row r="54" customFormat="false" ht="14.25" hidden="false" customHeight="false" outlineLevel="0" collapsed="false">
      <c r="A54" s="5" t="n">
        <v>1978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 t="n">
        <v>2776</v>
      </c>
      <c r="O54" s="7" t="n">
        <f aca="false">(N54-N53)/N53</f>
        <v>0.077639751552795</v>
      </c>
    </row>
    <row r="55" customFormat="false" ht="14.25" hidden="false" customHeight="false" outlineLevel="0" collapsed="false">
      <c r="A55" s="5" t="n">
        <v>1979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 t="n">
        <v>3003</v>
      </c>
      <c r="O55" s="7" t="n">
        <f aca="false">(N55-N54)/N54</f>
        <v>0.0817723342939481</v>
      </c>
    </row>
    <row r="56" customFormat="false" ht="14.25" hidden="false" customHeight="false" outlineLevel="0" collapsed="false">
      <c r="A56" s="5" t="n">
        <v>1980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 t="n">
        <v>3237</v>
      </c>
      <c r="O56" s="7" t="n">
        <f aca="false">(N56-N55)/N55</f>
        <v>0.0779220779220779</v>
      </c>
    </row>
    <row r="57" customFormat="false" ht="14.25" hidden="false" customHeight="false" outlineLevel="0" collapsed="false">
      <c r="A57" s="5" t="n">
        <v>1981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 t="n">
        <v>3535</v>
      </c>
      <c r="O57" s="7" t="n">
        <f aca="false">(N57-N56)/N56</f>
        <v>0.0920605498918752</v>
      </c>
    </row>
    <row r="58" customFormat="false" ht="14.25" hidden="false" customHeight="false" outlineLevel="0" collapsed="false">
      <c r="A58" s="5" t="n">
        <v>1982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 t="n">
        <v>3825</v>
      </c>
      <c r="O58" s="7" t="n">
        <f aca="false">(N58-N57)/N57</f>
        <v>0.082036775106082</v>
      </c>
    </row>
    <row r="59" customFormat="false" ht="14.25" hidden="false" customHeight="false" outlineLevel="0" collapsed="false">
      <c r="A59" s="5" t="n">
        <v>1983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 t="n">
        <v>4066</v>
      </c>
      <c r="O59" s="7" t="n">
        <f aca="false">(N59-N58)/N58</f>
        <v>0.0630065359477124</v>
      </c>
    </row>
    <row r="60" customFormat="false" ht="14.25" hidden="false" customHeight="false" outlineLevel="0" collapsed="false">
      <c r="A60" s="5" t="n">
        <v>1984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 t="n">
        <v>4148</v>
      </c>
      <c r="O60" s="7" t="n">
        <f aca="false">(N60-N59)/N59</f>
        <v>0.0201672405312346</v>
      </c>
    </row>
    <row r="61" customFormat="false" ht="14.25" hidden="false" customHeight="false" outlineLevel="0" collapsed="false">
      <c r="A61" s="5" t="n">
        <v>1985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 t="n">
        <v>4182</v>
      </c>
      <c r="O61" s="7" t="n">
        <f aca="false">(N61-N60)/N60</f>
        <v>0.00819672131147541</v>
      </c>
    </row>
    <row r="62" customFormat="false" ht="14.25" hidden="false" customHeight="false" outlineLevel="0" collapsed="false">
      <c r="A62" s="5" t="n">
        <v>1986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 t="n">
        <v>4295</v>
      </c>
      <c r="O62" s="7" t="n">
        <f aca="false">(N62-N61)/N61</f>
        <v>0.0270205643232903</v>
      </c>
    </row>
    <row r="63" customFormat="false" ht="14.25" hidden="false" customHeight="false" outlineLevel="0" collapsed="false">
      <c r="A63" s="5" t="n">
        <v>1987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 t="n">
        <v>4406</v>
      </c>
      <c r="O63" s="7" t="n">
        <f aca="false">(N63-N62)/N62</f>
        <v>0.0258440046565774</v>
      </c>
    </row>
    <row r="64" customFormat="false" ht="14.25" hidden="false" customHeight="false" outlineLevel="0" collapsed="false">
      <c r="A64" s="5" t="n">
        <v>1988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 t="n">
        <v>4519</v>
      </c>
      <c r="O64" s="7" t="n">
        <f aca="false">(N64-N63)/N63</f>
        <v>0.0256468452110758</v>
      </c>
    </row>
    <row r="65" customFormat="false" ht="14.25" hidden="false" customHeight="false" outlineLevel="0" collapsed="false">
      <c r="A65" s="5" t="n">
        <v>1989</v>
      </c>
      <c r="B65" s="6"/>
      <c r="C65" s="6"/>
      <c r="D65" s="6"/>
      <c r="E65" s="6"/>
      <c r="F65" s="6"/>
      <c r="G65" s="6" t="n">
        <v>4615</v>
      </c>
      <c r="H65" s="6"/>
      <c r="I65" s="6"/>
      <c r="J65" s="6"/>
      <c r="K65" s="6"/>
      <c r="L65" s="6"/>
      <c r="M65" s="6"/>
      <c r="N65" s="6" t="n">
        <f aca="false">AVERAGE(B65:M65)</f>
        <v>4615</v>
      </c>
      <c r="O65" s="7" t="n">
        <f aca="false">(N65-N64)/N64</f>
        <v>0.0212436379730029</v>
      </c>
    </row>
    <row r="66" customFormat="false" ht="14.25" hidden="false" customHeight="false" outlineLevel="0" collapsed="false">
      <c r="A66" s="5" t="n">
        <v>1990</v>
      </c>
      <c r="B66" s="6" t="n">
        <v>4680</v>
      </c>
      <c r="C66" s="6" t="n">
        <v>4685</v>
      </c>
      <c r="D66" s="6" t="n">
        <v>4691</v>
      </c>
      <c r="E66" s="6" t="n">
        <v>4693</v>
      </c>
      <c r="F66" s="6" t="n">
        <v>4707</v>
      </c>
      <c r="G66" s="6" t="n">
        <v>4732</v>
      </c>
      <c r="H66" s="6" t="n">
        <v>4734</v>
      </c>
      <c r="I66" s="6" t="n">
        <v>4752</v>
      </c>
      <c r="J66" s="6" t="n">
        <v>4774</v>
      </c>
      <c r="K66" s="6" t="n">
        <v>4771</v>
      </c>
      <c r="L66" s="6" t="n">
        <v>4787</v>
      </c>
      <c r="M66" s="6" t="n">
        <v>4777</v>
      </c>
      <c r="N66" s="6" t="n">
        <f aca="false">AVERAGE(B66:M66)</f>
        <v>4731.91666666667</v>
      </c>
      <c r="O66" s="7" t="n">
        <f aca="false">(N66-N65)/N65</f>
        <v>0.0253340556157458</v>
      </c>
    </row>
    <row r="67" customFormat="false" ht="14.25" hidden="false" customHeight="false" outlineLevel="0" collapsed="false">
      <c r="A67" s="5" t="n">
        <v>1991</v>
      </c>
      <c r="B67" s="6" t="n">
        <v>4777</v>
      </c>
      <c r="C67" s="6" t="n">
        <v>4773</v>
      </c>
      <c r="D67" s="6" t="n">
        <v>4772</v>
      </c>
      <c r="E67" s="6" t="n">
        <v>4766</v>
      </c>
      <c r="F67" s="6" t="n">
        <v>4801</v>
      </c>
      <c r="G67" s="6" t="n">
        <v>4818</v>
      </c>
      <c r="H67" s="6" t="n">
        <v>4854</v>
      </c>
      <c r="I67" s="6" t="n">
        <v>4892</v>
      </c>
      <c r="J67" s="6" t="n">
        <v>4891</v>
      </c>
      <c r="K67" s="6" t="n">
        <v>4892</v>
      </c>
      <c r="L67" s="6" t="n">
        <v>4896</v>
      </c>
      <c r="M67" s="6" t="n">
        <v>4889</v>
      </c>
      <c r="N67" s="6" t="n">
        <f aca="false">AVERAGE(B67:M67)</f>
        <v>4835.08333333333</v>
      </c>
      <c r="O67" s="7" t="n">
        <f aca="false">(N67-N66)/N66</f>
        <v>0.0218022999841501</v>
      </c>
    </row>
    <row r="68" customFormat="false" ht="14.25" hidden="false" customHeight="false" outlineLevel="0" collapsed="false">
      <c r="A68" s="5" t="n">
        <v>1992</v>
      </c>
      <c r="B68" s="6" t="n">
        <v>4888</v>
      </c>
      <c r="C68" s="6" t="n">
        <v>4884</v>
      </c>
      <c r="D68" s="6" t="n">
        <v>4927</v>
      </c>
      <c r="E68" s="6" t="n">
        <v>4946</v>
      </c>
      <c r="F68" s="6" t="n">
        <v>4965</v>
      </c>
      <c r="G68" s="6" t="n">
        <v>4973</v>
      </c>
      <c r="H68" s="6" t="n">
        <v>4992</v>
      </c>
      <c r="I68" s="6" t="n">
        <v>5032</v>
      </c>
      <c r="J68" s="6" t="n">
        <v>5042</v>
      </c>
      <c r="K68" s="6" t="n">
        <v>5052</v>
      </c>
      <c r="L68" s="6" t="n">
        <v>5058</v>
      </c>
      <c r="M68" s="6" t="n">
        <v>5059</v>
      </c>
      <c r="N68" s="6" t="n">
        <f aca="false">AVERAGE(B68:M68)</f>
        <v>4984.83333333333</v>
      </c>
      <c r="O68" s="7" t="n">
        <f aca="false">(N68-N67)/N67</f>
        <v>0.0309715447855087</v>
      </c>
    </row>
    <row r="69" customFormat="false" ht="14.25" hidden="false" customHeight="false" outlineLevel="0" collapsed="false">
      <c r="A69" s="5" t="n">
        <v>1993</v>
      </c>
      <c r="B69" s="6" t="n">
        <v>5071</v>
      </c>
      <c r="C69" s="6" t="n">
        <v>5070</v>
      </c>
      <c r="D69" s="6" t="n">
        <v>5106</v>
      </c>
      <c r="E69" s="6" t="n">
        <v>5167</v>
      </c>
      <c r="F69" s="6" t="n">
        <v>5262</v>
      </c>
      <c r="G69" s="6" t="n">
        <v>5260</v>
      </c>
      <c r="H69" s="6" t="n">
        <v>5252</v>
      </c>
      <c r="I69" s="6" t="n">
        <v>5230</v>
      </c>
      <c r="J69" s="6" t="n">
        <v>5255</v>
      </c>
      <c r="K69" s="6" t="n">
        <v>5264</v>
      </c>
      <c r="L69" s="6" t="n">
        <v>5278</v>
      </c>
      <c r="M69" s="6" t="n">
        <v>5310</v>
      </c>
      <c r="N69" s="6" t="n">
        <f aca="false">AVERAGE(B69:M69)</f>
        <v>5210.41666666667</v>
      </c>
      <c r="O69" s="7" t="n">
        <f aca="false">(N69-N68)/N68</f>
        <v>0.0452539369420577</v>
      </c>
    </row>
    <row r="70" customFormat="false" ht="14.25" hidden="false" customHeight="false" outlineLevel="0" collapsed="false">
      <c r="A70" s="5" t="n">
        <v>1994</v>
      </c>
      <c r="B70" s="6" t="n">
        <v>5336</v>
      </c>
      <c r="C70" s="6" t="n">
        <v>5371</v>
      </c>
      <c r="D70" s="6" t="n">
        <v>5381</v>
      </c>
      <c r="E70" s="6" t="n">
        <v>5405</v>
      </c>
      <c r="F70" s="6" t="n">
        <v>5405</v>
      </c>
      <c r="G70" s="6" t="n">
        <v>5408</v>
      </c>
      <c r="H70" s="6" t="n">
        <v>5409</v>
      </c>
      <c r="I70" s="6" t="n">
        <v>5424</v>
      </c>
      <c r="J70" s="6" t="n">
        <v>5437</v>
      </c>
      <c r="K70" s="6" t="n">
        <v>5437</v>
      </c>
      <c r="L70" s="6" t="n">
        <v>5439</v>
      </c>
      <c r="M70" s="6" t="n">
        <v>5439</v>
      </c>
      <c r="N70" s="6" t="n">
        <f aca="false">AVERAGE(B70:M70)</f>
        <v>5407.58333333333</v>
      </c>
      <c r="O70" s="7" t="n">
        <f aca="false">(N70-N69)/N69</f>
        <v>0.0378408636545381</v>
      </c>
    </row>
    <row r="71" customFormat="false" ht="14.25" hidden="false" customHeight="false" outlineLevel="0" collapsed="false">
      <c r="A71" s="5" t="n">
        <v>1995</v>
      </c>
      <c r="B71" s="6" t="n">
        <v>5443</v>
      </c>
      <c r="C71" s="6" t="n">
        <v>5444</v>
      </c>
      <c r="D71" s="6" t="n">
        <v>5435</v>
      </c>
      <c r="E71" s="6" t="n">
        <v>5432</v>
      </c>
      <c r="F71" s="6" t="n">
        <v>5433</v>
      </c>
      <c r="G71" s="6" t="n">
        <v>5432</v>
      </c>
      <c r="H71" s="6" t="n">
        <v>5484</v>
      </c>
      <c r="I71" s="6" t="n">
        <v>5506</v>
      </c>
      <c r="J71" s="6" t="n">
        <v>5491</v>
      </c>
      <c r="K71" s="6" t="n">
        <v>5511</v>
      </c>
      <c r="L71" s="6" t="n">
        <v>5519</v>
      </c>
      <c r="M71" s="6" t="n">
        <v>5524</v>
      </c>
      <c r="N71" s="6" t="n">
        <f aca="false">AVERAGE(B71:M71)</f>
        <v>5471.16666666667</v>
      </c>
      <c r="O71" s="7" t="n">
        <f aca="false">(N71-N70)/N70</f>
        <v>0.0117581791003376</v>
      </c>
    </row>
    <row r="72" customFormat="false" ht="14.25" hidden="false" customHeight="false" outlineLevel="0" collapsed="false">
      <c r="A72" s="5" t="n">
        <v>1996</v>
      </c>
      <c r="B72" s="6" t="n">
        <v>5523</v>
      </c>
      <c r="C72" s="6" t="n">
        <v>5532</v>
      </c>
      <c r="D72" s="6" t="n">
        <v>5537</v>
      </c>
      <c r="E72" s="6" t="n">
        <v>5550</v>
      </c>
      <c r="F72" s="6" t="n">
        <v>5572</v>
      </c>
      <c r="G72" s="6" t="n">
        <v>5597</v>
      </c>
      <c r="H72" s="6" t="n">
        <v>5617</v>
      </c>
      <c r="I72" s="6" t="n">
        <v>5652</v>
      </c>
      <c r="J72" s="6" t="n">
        <v>5683</v>
      </c>
      <c r="K72" s="6" t="n">
        <v>5719</v>
      </c>
      <c r="L72" s="6" t="n">
        <v>5740</v>
      </c>
      <c r="M72" s="6" t="n">
        <v>5744</v>
      </c>
      <c r="N72" s="6" t="n">
        <f aca="false">AVERAGE(B72:M72)</f>
        <v>5622.16666666667</v>
      </c>
      <c r="O72" s="7" t="n">
        <f aca="false">(N72-N71)/N71</f>
        <v>0.027599232339233</v>
      </c>
    </row>
    <row r="73" customFormat="false" ht="14.25" hidden="false" customHeight="false" outlineLevel="0" collapsed="false">
      <c r="A73" s="5" t="n">
        <v>1997</v>
      </c>
      <c r="B73" s="6" t="n">
        <v>5765</v>
      </c>
      <c r="C73" s="6" t="n">
        <v>5769</v>
      </c>
      <c r="D73" s="6" t="n">
        <v>5759</v>
      </c>
      <c r="E73" s="6" t="n">
        <v>5799</v>
      </c>
      <c r="F73" s="6" t="n">
        <v>5837</v>
      </c>
      <c r="G73" s="6" t="n">
        <v>5860</v>
      </c>
      <c r="H73" s="6" t="n">
        <v>5863</v>
      </c>
      <c r="I73" s="6" t="n">
        <v>5854</v>
      </c>
      <c r="J73" s="6" t="n">
        <v>5851</v>
      </c>
      <c r="K73" s="6" t="n">
        <v>5848</v>
      </c>
      <c r="L73" s="6" t="n">
        <v>5838</v>
      </c>
      <c r="M73" s="6" t="n">
        <v>5858</v>
      </c>
      <c r="N73" s="6" t="n">
        <f aca="false">AVERAGE(B73:M73)</f>
        <v>5825.08333333333</v>
      </c>
      <c r="O73" s="7" t="n">
        <f aca="false">(N73-N72)/N72</f>
        <v>0.0360922538760263</v>
      </c>
    </row>
    <row r="74" customFormat="false" ht="14.25" hidden="false" customHeight="false" outlineLevel="0" collapsed="false">
      <c r="A74" s="5" t="n">
        <v>1998</v>
      </c>
      <c r="B74" s="6" t="n">
        <v>5852</v>
      </c>
      <c r="C74" s="6" t="n">
        <v>5874</v>
      </c>
      <c r="D74" s="6" t="n">
        <v>5875</v>
      </c>
      <c r="E74" s="6" t="n">
        <v>5883</v>
      </c>
      <c r="F74" s="6" t="n">
        <v>5881</v>
      </c>
      <c r="G74" s="6" t="n">
        <v>5895</v>
      </c>
      <c r="H74" s="6" t="n">
        <v>5921</v>
      </c>
      <c r="I74" s="6" t="n">
        <v>5929</v>
      </c>
      <c r="J74" s="6" t="n">
        <v>5963</v>
      </c>
      <c r="K74" s="6" t="n">
        <v>5986</v>
      </c>
      <c r="L74" s="6" t="n">
        <v>5995</v>
      </c>
      <c r="M74" s="6" t="n">
        <v>5991</v>
      </c>
      <c r="N74" s="6" t="n">
        <f aca="false">AVERAGE(B74:M74)</f>
        <v>5920.41666666667</v>
      </c>
      <c r="O74" s="7" t="n">
        <f aca="false">(N74-N73)/N73</f>
        <v>0.0163660033475917</v>
      </c>
    </row>
    <row r="75" customFormat="false" ht="14.25" hidden="false" customHeight="false" outlineLevel="0" collapsed="false">
      <c r="A75" s="5" t="n">
        <v>1999</v>
      </c>
      <c r="B75" s="6" t="n">
        <v>6000</v>
      </c>
      <c r="C75" s="6" t="n">
        <v>5992</v>
      </c>
      <c r="D75" s="6" t="n">
        <v>5986</v>
      </c>
      <c r="E75" s="6" t="n">
        <v>6008</v>
      </c>
      <c r="F75" s="6" t="n">
        <v>6006</v>
      </c>
      <c r="G75" s="6" t="n">
        <v>6039</v>
      </c>
      <c r="H75" s="6" t="n">
        <v>6076</v>
      </c>
      <c r="I75" s="6" t="n">
        <v>6091</v>
      </c>
      <c r="J75" s="6" t="n">
        <v>6128</v>
      </c>
      <c r="K75" s="6" t="n">
        <v>6134</v>
      </c>
      <c r="L75" s="6" t="n">
        <v>6127</v>
      </c>
      <c r="M75" s="6" t="n">
        <v>6127</v>
      </c>
      <c r="N75" s="6" t="n">
        <f aca="false">AVERAGE(B75:M75)</f>
        <v>6059.5</v>
      </c>
      <c r="O75" s="7" t="n">
        <f aca="false">(N75-N74)/N74</f>
        <v>0.0234921528608628</v>
      </c>
    </row>
    <row r="76" customFormat="false" ht="14.25" hidden="false" customHeight="false" outlineLevel="0" collapsed="false">
      <c r="A76" s="5" t="n">
        <v>2000</v>
      </c>
      <c r="B76" s="6" t="n">
        <v>6130</v>
      </c>
      <c r="C76" s="6" t="n">
        <v>6160</v>
      </c>
      <c r="D76" s="6" t="n">
        <v>6202</v>
      </c>
      <c r="E76" s="6" t="n">
        <v>6201</v>
      </c>
      <c r="F76" s="6" t="n">
        <v>6233</v>
      </c>
      <c r="G76" s="6" t="n">
        <v>6238</v>
      </c>
      <c r="H76" s="6" t="n">
        <v>6225</v>
      </c>
      <c r="I76" s="6" t="n">
        <v>6233</v>
      </c>
      <c r="J76" s="6" t="n">
        <v>6224</v>
      </c>
      <c r="K76" s="6" t="n">
        <v>6259</v>
      </c>
      <c r="L76" s="6" t="n">
        <v>6266</v>
      </c>
      <c r="M76" s="6" t="n">
        <v>6283</v>
      </c>
      <c r="N76" s="6" t="n">
        <f aca="false">AVERAGE(B76:M76)</f>
        <v>6221.16666666667</v>
      </c>
      <c r="O76" s="7" t="n">
        <f aca="false">(N76-N75)/N75</f>
        <v>0.0266798690761064</v>
      </c>
    </row>
    <row r="77" customFormat="false" ht="14.25" hidden="false" customHeight="false" outlineLevel="0" collapsed="false">
      <c r="A77" s="5" t="n">
        <v>2001</v>
      </c>
      <c r="B77" s="6" t="n">
        <v>6281</v>
      </c>
      <c r="C77" s="6" t="n">
        <v>6272</v>
      </c>
      <c r="D77" s="6" t="n">
        <v>6279</v>
      </c>
      <c r="E77" s="6" t="n">
        <v>6286</v>
      </c>
      <c r="F77" s="6" t="n">
        <v>6288</v>
      </c>
      <c r="G77" s="6" t="n">
        <v>6318</v>
      </c>
      <c r="H77" s="6" t="n">
        <v>6404</v>
      </c>
      <c r="I77" s="6" t="n">
        <v>6389</v>
      </c>
      <c r="J77" s="6" t="n">
        <v>6391</v>
      </c>
      <c r="K77" s="6" t="n">
        <v>6397</v>
      </c>
      <c r="L77" s="6" t="n">
        <v>6410</v>
      </c>
      <c r="M77" s="6" t="n">
        <v>6390</v>
      </c>
      <c r="N77" s="6" t="n">
        <f aca="false">AVERAGE(B77:M77)</f>
        <v>6342.08333333333</v>
      </c>
      <c r="O77" s="7" t="n">
        <f aca="false">(N77-N76)/N76</f>
        <v>0.0194363329493395</v>
      </c>
    </row>
    <row r="78" customFormat="false" ht="14.25" hidden="false" customHeight="false" outlineLevel="0" collapsed="false">
      <c r="A78" s="5" t="n">
        <v>2002</v>
      </c>
      <c r="B78" s="6" t="n">
        <v>6462</v>
      </c>
      <c r="C78" s="6" t="n">
        <v>6462</v>
      </c>
      <c r="D78" s="6" t="n">
        <v>6502</v>
      </c>
      <c r="E78" s="6" t="n">
        <v>6480</v>
      </c>
      <c r="F78" s="6" t="n">
        <v>6512</v>
      </c>
      <c r="G78" s="6" t="n">
        <v>6532</v>
      </c>
      <c r="H78" s="6" t="n">
        <v>6605</v>
      </c>
      <c r="I78" s="6" t="n">
        <v>6592</v>
      </c>
      <c r="J78" s="6" t="n">
        <v>6589</v>
      </c>
      <c r="K78" s="6" t="n">
        <v>6579</v>
      </c>
      <c r="L78" s="6" t="n">
        <v>6578</v>
      </c>
      <c r="M78" s="6" t="n">
        <v>6563</v>
      </c>
      <c r="N78" s="6" t="n">
        <f aca="false">AVERAGE(B78:M78)</f>
        <v>6538</v>
      </c>
      <c r="O78" s="7" t="n">
        <f aca="false">(N78-N77)/N77</f>
        <v>0.0308915314368307</v>
      </c>
    </row>
    <row r="79" customFormat="false" ht="14.25" hidden="false" customHeight="false" outlineLevel="0" collapsed="false">
      <c r="A79" s="5" t="n">
        <v>2003</v>
      </c>
      <c r="B79" s="6" t="n">
        <v>6581</v>
      </c>
      <c r="C79" s="6" t="n">
        <v>6640</v>
      </c>
      <c r="D79" s="6" t="n">
        <v>6627</v>
      </c>
      <c r="E79" s="6" t="n">
        <v>6635</v>
      </c>
      <c r="F79" s="6" t="n">
        <v>6642</v>
      </c>
      <c r="G79" s="6" t="n">
        <v>6694</v>
      </c>
      <c r="H79" s="6" t="n">
        <v>6695</v>
      </c>
      <c r="I79" s="6" t="n">
        <v>6733</v>
      </c>
      <c r="J79" s="6" t="n">
        <v>6741</v>
      </c>
      <c r="K79" s="6" t="n">
        <v>6771</v>
      </c>
      <c r="L79" s="6" t="n">
        <v>6794</v>
      </c>
      <c r="M79" s="6" t="n">
        <v>6782</v>
      </c>
      <c r="N79" s="6" t="n">
        <f aca="false">AVERAGE(B79:M79)</f>
        <v>6694.58333333333</v>
      </c>
      <c r="O79" s="7" t="n">
        <f aca="false">(N79-N78)/N78</f>
        <v>0.0239497297848475</v>
      </c>
    </row>
    <row r="80" customFormat="false" ht="14.25" hidden="false" customHeight="false" outlineLevel="0" collapsed="false">
      <c r="A80" s="5" t="n">
        <v>2004</v>
      </c>
      <c r="B80" s="6" t="n">
        <v>6825</v>
      </c>
      <c r="C80" s="6" t="n">
        <v>6861</v>
      </c>
      <c r="D80" s="6" t="n">
        <v>6957</v>
      </c>
      <c r="E80" s="6" t="n">
        <v>7017</v>
      </c>
      <c r="F80" s="6" t="n">
        <v>7064</v>
      </c>
      <c r="G80" s="6" t="n">
        <v>7109</v>
      </c>
      <c r="H80" s="6" t="n">
        <v>7126</v>
      </c>
      <c r="I80" s="6" t="n">
        <v>7188</v>
      </c>
      <c r="J80" s="6" t="n">
        <v>7298</v>
      </c>
      <c r="K80" s="6" t="n">
        <v>7314</v>
      </c>
      <c r="L80" s="6" t="n">
        <v>7312</v>
      </c>
      <c r="M80" s="6" t="n">
        <v>7308</v>
      </c>
      <c r="N80" s="6" t="n">
        <f aca="false">AVERAGE(B80:M80)</f>
        <v>7114.91666666667</v>
      </c>
      <c r="O80" s="7" t="n">
        <f aca="false">(N80-N79)/N79</f>
        <v>0.0627870791062427</v>
      </c>
    </row>
    <row r="81" customFormat="false" ht="14.25" hidden="false" customHeight="false" outlineLevel="0" collapsed="false">
      <c r="A81" s="5" t="n">
        <v>2005</v>
      </c>
      <c r="B81" s="6" t="n">
        <v>7297</v>
      </c>
      <c r="C81" s="6" t="n">
        <v>7298</v>
      </c>
      <c r="D81" s="6" t="n">
        <v>7309</v>
      </c>
      <c r="E81" s="6" t="n">
        <v>7355</v>
      </c>
      <c r="F81" s="6" t="n">
        <v>7398</v>
      </c>
      <c r="G81" s="6" t="n">
        <v>7415</v>
      </c>
      <c r="H81" s="6" t="n">
        <v>7422</v>
      </c>
      <c r="I81" s="6" t="n">
        <v>7479</v>
      </c>
      <c r="J81" s="6" t="n">
        <v>7540</v>
      </c>
      <c r="K81" s="6" t="n">
        <v>7563</v>
      </c>
      <c r="L81" s="6" t="n">
        <v>7630</v>
      </c>
      <c r="M81" s="6" t="n">
        <v>7647</v>
      </c>
      <c r="N81" s="6" t="n">
        <f aca="false">AVERAGE(B81:M81)</f>
        <v>7446.08333333333</v>
      </c>
      <c r="O81" s="7" t="n">
        <f aca="false">(N81-N80)/N80</f>
        <v>0.0465454034364421</v>
      </c>
    </row>
    <row r="82" customFormat="false" ht="14.25" hidden="false" customHeight="false" outlineLevel="0" collapsed="false">
      <c r="A82" s="5" t="n">
        <v>2006</v>
      </c>
      <c r="B82" s="6" t="n">
        <v>7660</v>
      </c>
      <c r="C82" s="6" t="n">
        <v>7689</v>
      </c>
      <c r="D82" s="6" t="n">
        <v>7692</v>
      </c>
      <c r="E82" s="6" t="n">
        <v>7695</v>
      </c>
      <c r="F82" s="6" t="n">
        <v>7691</v>
      </c>
      <c r="G82" s="6" t="n">
        <v>7700</v>
      </c>
      <c r="H82" s="6" t="n">
        <v>7721</v>
      </c>
      <c r="I82" s="6" t="n">
        <v>7723</v>
      </c>
      <c r="J82" s="6" t="n">
        <v>7763</v>
      </c>
      <c r="K82" s="6" t="n">
        <v>7883</v>
      </c>
      <c r="L82" s="6" t="n">
        <v>7911</v>
      </c>
      <c r="M82" s="6" t="n">
        <v>7888</v>
      </c>
      <c r="N82" s="6" t="n">
        <f aca="false">AVERAGE(B82:M82)</f>
        <v>7751.33333333333</v>
      </c>
      <c r="O82" s="7" t="n">
        <f aca="false">(N82-N81)/N81</f>
        <v>0.0409947063892651</v>
      </c>
    </row>
    <row r="83" customFormat="false" ht="14.25" hidden="false" customHeight="false" outlineLevel="0" collapsed="false">
      <c r="A83" s="5" t="n">
        <v>2007</v>
      </c>
      <c r="B83" s="6" t="n">
        <v>7880</v>
      </c>
      <c r="C83" s="6" t="n">
        <v>7880</v>
      </c>
      <c r="D83" s="6" t="n">
        <v>7856</v>
      </c>
      <c r="E83" s="6" t="n">
        <v>7865</v>
      </c>
      <c r="F83" s="6" t="n">
        <v>7942</v>
      </c>
      <c r="G83" s="6" t="n">
        <v>7939</v>
      </c>
      <c r="H83" s="6" t="n">
        <v>7959</v>
      </c>
      <c r="I83" s="6" t="n">
        <v>8007</v>
      </c>
      <c r="J83" s="6" t="n">
        <v>8050</v>
      </c>
      <c r="K83" s="6" t="n">
        <v>8045</v>
      </c>
      <c r="L83" s="6" t="n">
        <v>8092</v>
      </c>
      <c r="M83" s="6" t="n">
        <v>8089</v>
      </c>
      <c r="N83" s="6" t="n">
        <f aca="false">AVERAGE(B83:M83)</f>
        <v>7967</v>
      </c>
      <c r="O83" s="7" t="n">
        <f aca="false">(N83-N82)/N82</f>
        <v>0.0278231702072762</v>
      </c>
    </row>
    <row r="84" customFormat="false" ht="14.25" hidden="false" customHeight="false" outlineLevel="0" collapsed="false">
      <c r="A84" s="5" t="n">
        <v>2008</v>
      </c>
      <c r="B84" s="6" t="n">
        <v>8090</v>
      </c>
      <c r="C84" s="6" t="n">
        <v>8094</v>
      </c>
      <c r="D84" s="6" t="n">
        <v>8109</v>
      </c>
      <c r="E84" s="6" t="n">
        <v>8112</v>
      </c>
      <c r="F84" s="6" t="n">
        <v>8141</v>
      </c>
      <c r="G84" s="6" t="n">
        <v>8185</v>
      </c>
      <c r="H84" s="6" t="n">
        <v>8293</v>
      </c>
      <c r="I84" s="6" t="n">
        <v>8362</v>
      </c>
      <c r="J84" s="6" t="n">
        <v>8557</v>
      </c>
      <c r="K84" s="6" t="n">
        <v>8623</v>
      </c>
      <c r="L84" s="6" t="n">
        <v>8602</v>
      </c>
      <c r="M84" s="6" t="n">
        <v>8551</v>
      </c>
      <c r="N84" s="6" t="n">
        <f aca="false">AVERAGE(B84:M84)</f>
        <v>8309.91666666667</v>
      </c>
      <c r="O84" s="7" t="n">
        <f aca="false">(N84-N83)/N83</f>
        <v>0.0430421321283628</v>
      </c>
    </row>
    <row r="85" customFormat="false" ht="14.25" hidden="false" customHeight="false" outlineLevel="0" collapsed="false">
      <c r="A85" s="5" t="n">
        <v>2009</v>
      </c>
      <c r="B85" s="6" t="n">
        <v>8549</v>
      </c>
      <c r="C85" s="6" t="n">
        <v>8533</v>
      </c>
      <c r="D85" s="6" t="n">
        <v>8534</v>
      </c>
      <c r="E85" s="6" t="n">
        <v>8528</v>
      </c>
      <c r="F85" s="6" t="n">
        <v>8574</v>
      </c>
      <c r="G85" s="6" t="n">
        <v>8578</v>
      </c>
      <c r="H85" s="6" t="n">
        <v>8566</v>
      </c>
      <c r="I85" s="6" t="n">
        <v>8564</v>
      </c>
      <c r="J85" s="6" t="n">
        <v>8586</v>
      </c>
      <c r="K85" s="6" t="n">
        <v>8596</v>
      </c>
      <c r="L85" s="6" t="n">
        <v>8592</v>
      </c>
      <c r="M85" s="6" t="n">
        <v>8641</v>
      </c>
      <c r="N85" s="6" t="n">
        <f aca="false">AVERAGE(B85:M85)</f>
        <v>8570.08333333333</v>
      </c>
      <c r="O85" s="7" t="n">
        <f aca="false">(N85-N84)/N84</f>
        <v>0.0313079754109048</v>
      </c>
    </row>
    <row r="86" customFormat="false" ht="14.25" hidden="false" customHeight="false" outlineLevel="0" collapsed="false">
      <c r="A86" s="5" t="n">
        <v>2010</v>
      </c>
      <c r="B86" s="6" t="n">
        <v>8660</v>
      </c>
      <c r="C86" s="6" t="n">
        <v>8672</v>
      </c>
      <c r="D86" s="6" t="n">
        <v>8671</v>
      </c>
      <c r="E86" s="6" t="n">
        <v>8677</v>
      </c>
      <c r="F86" s="6" t="n">
        <v>8761</v>
      </c>
      <c r="G86" s="6" t="n">
        <v>8805</v>
      </c>
      <c r="H86" s="6" t="n">
        <v>8844</v>
      </c>
      <c r="I86" s="6" t="n">
        <v>8837</v>
      </c>
      <c r="J86" s="6" t="n">
        <v>8836</v>
      </c>
      <c r="K86" s="6" t="n">
        <v>8921</v>
      </c>
      <c r="L86" s="6" t="n">
        <v>8951</v>
      </c>
      <c r="M86" s="6" t="n">
        <v>8952</v>
      </c>
      <c r="N86" s="6" t="n">
        <f aca="false">AVERAGE(B86:M86)</f>
        <v>8798.91666666667</v>
      </c>
      <c r="O86" s="7" t="n">
        <f aca="false">(N86-N85)/N85</f>
        <v>0.0267014128606294</v>
      </c>
    </row>
    <row r="87" customFormat="false" ht="14.25" hidden="false" customHeight="false" outlineLevel="0" collapsed="false">
      <c r="A87" s="5" t="n">
        <v>2011</v>
      </c>
      <c r="B87" s="6" t="n">
        <v>8938</v>
      </c>
      <c r="C87" s="6" t="n">
        <v>8998</v>
      </c>
      <c r="D87" s="6" t="n">
        <v>9011</v>
      </c>
      <c r="E87" s="6" t="n">
        <v>9027</v>
      </c>
      <c r="F87" s="6" t="n">
        <v>9035</v>
      </c>
      <c r="G87" s="6" t="n">
        <v>9053</v>
      </c>
      <c r="H87" s="6" t="n">
        <v>9080</v>
      </c>
      <c r="I87" s="6" t="n">
        <v>9088</v>
      </c>
      <c r="J87" s="6" t="n">
        <v>9116</v>
      </c>
      <c r="K87" s="6" t="n">
        <v>9147</v>
      </c>
      <c r="L87" s="6" t="n">
        <v>9173</v>
      </c>
      <c r="M87" s="6" t="n">
        <v>9172</v>
      </c>
      <c r="N87" s="6" t="n">
        <f aca="false">AVERAGE(B87:M87)</f>
        <v>9069.83333333333</v>
      </c>
      <c r="O87" s="7" t="n">
        <f aca="false">(N87-N86)/N86</f>
        <v>0.0307897752564238</v>
      </c>
    </row>
    <row r="88" customFormat="false" ht="14.25" hidden="false" customHeight="false" outlineLevel="0" collapsed="false">
      <c r="A88" s="5" t="n">
        <v>2012</v>
      </c>
      <c r="B88" s="6" t="n">
        <v>9176</v>
      </c>
      <c r="C88" s="6" t="n">
        <v>9198</v>
      </c>
      <c r="D88" s="6" t="n">
        <v>9268</v>
      </c>
      <c r="E88" s="6" t="n">
        <v>9273</v>
      </c>
      <c r="F88" s="6" t="n">
        <v>9290</v>
      </c>
      <c r="G88" s="6" t="n">
        <v>9291</v>
      </c>
      <c r="H88" s="6" t="n">
        <v>9324</v>
      </c>
      <c r="I88" s="6" t="n">
        <v>9351</v>
      </c>
      <c r="J88" s="6" t="n">
        <v>9341</v>
      </c>
      <c r="K88" s="6" t="n">
        <v>9376</v>
      </c>
      <c r="L88" s="6" t="n">
        <v>9398</v>
      </c>
      <c r="M88" s="6" t="n">
        <v>9412</v>
      </c>
      <c r="N88" s="6" t="n">
        <f aca="false">AVERAGE(B88:M88)</f>
        <v>9308.16666666667</v>
      </c>
      <c r="O88" s="7" t="n">
        <f aca="false">(N88-N87)/N87</f>
        <v>0.026277586872232</v>
      </c>
    </row>
    <row r="89" customFormat="false" ht="14.25" hidden="false" customHeight="false" outlineLevel="0" collapsed="false">
      <c r="A89" s="5" t="n">
        <v>2013</v>
      </c>
      <c r="B89" s="6" t="n">
        <v>9437</v>
      </c>
      <c r="C89" s="6" t="n">
        <v>9453</v>
      </c>
      <c r="D89" s="6" t="n">
        <v>9456</v>
      </c>
      <c r="E89" s="6" t="n">
        <v>9484</v>
      </c>
      <c r="F89" s="6" t="n">
        <v>9516</v>
      </c>
      <c r="G89" s="6" t="n">
        <v>9542</v>
      </c>
      <c r="H89" s="6" t="n">
        <v>9552</v>
      </c>
      <c r="I89" s="6" t="n">
        <v>9545</v>
      </c>
      <c r="J89" s="6" t="n">
        <v>9552</v>
      </c>
      <c r="K89" s="6" t="n">
        <v>9689</v>
      </c>
      <c r="L89" s="6" t="n">
        <v>9666</v>
      </c>
      <c r="M89" s="6" t="n">
        <v>9668</v>
      </c>
      <c r="N89" s="6" t="n">
        <f aca="false">AVERAGE(B89:M89)</f>
        <v>9546.66666666667</v>
      </c>
      <c r="O89" s="7" t="n">
        <f aca="false">(N89-N88)/N88</f>
        <v>0.0256226611040484</v>
      </c>
    </row>
    <row r="90" customFormat="false" ht="14.25" hidden="false" customHeight="false" outlineLevel="0" collapsed="false">
      <c r="A90" s="5" t="n">
        <v>2014</v>
      </c>
      <c r="B90" s="6" t="n">
        <v>9664</v>
      </c>
      <c r="C90" s="6" t="n">
        <v>9681</v>
      </c>
      <c r="D90" s="6" t="n">
        <v>9702</v>
      </c>
      <c r="E90" s="6" t="n">
        <v>9750</v>
      </c>
      <c r="F90" s="6" t="n">
        <v>9796</v>
      </c>
      <c r="G90" s="6" t="n">
        <v>9800</v>
      </c>
      <c r="H90" s="6" t="n">
        <v>9835</v>
      </c>
      <c r="I90" s="6" t="n">
        <v>9846</v>
      </c>
      <c r="J90" s="6" t="n">
        <v>9870</v>
      </c>
      <c r="K90" s="6" t="n">
        <v>9886</v>
      </c>
      <c r="L90" s="6" t="n">
        <v>9912</v>
      </c>
      <c r="M90" s="6" t="n">
        <v>9936</v>
      </c>
      <c r="N90" s="6" t="n">
        <f aca="false">AVERAGE(B90:M90)</f>
        <v>9806.5</v>
      </c>
      <c r="O90" s="7" t="n">
        <f aca="false">(N90-N89)/N89</f>
        <v>0.0272171787709498</v>
      </c>
    </row>
    <row r="91" customFormat="false" ht="14.25" hidden="false" customHeight="false" outlineLevel="0" collapsed="false">
      <c r="A91" s="5" t="n">
        <v>2015</v>
      </c>
      <c r="B91" s="6" t="n">
        <v>9972</v>
      </c>
      <c r="C91" s="6" t="n">
        <v>9962</v>
      </c>
      <c r="D91" s="6" t="n">
        <v>9972</v>
      </c>
      <c r="E91" s="6" t="n">
        <v>9992</v>
      </c>
      <c r="F91" s="6" t="n">
        <v>9975</v>
      </c>
      <c r="G91" s="6" t="n">
        <v>10039</v>
      </c>
      <c r="H91" s="6" t="n">
        <v>10037</v>
      </c>
      <c r="I91" s="6" t="n">
        <v>10039</v>
      </c>
      <c r="J91" s="6" t="n">
        <v>10065</v>
      </c>
      <c r="K91" s="6" t="n">
        <v>10128</v>
      </c>
      <c r="L91" s="6" t="n">
        <v>10092</v>
      </c>
      <c r="M91" s="6" t="n">
        <v>10135</v>
      </c>
      <c r="N91" s="6" t="n">
        <f aca="false">AVERAGE(B91:M91)</f>
        <v>10034</v>
      </c>
      <c r="O91" s="7" t="n">
        <f aca="false">(N91-N90)/N90</f>
        <v>0.0231988986896446</v>
      </c>
    </row>
    <row r="92" customFormat="false" ht="14.25" hidden="false" customHeight="false" outlineLevel="0" collapsed="false">
      <c r="A92" s="5" t="n">
        <v>2016</v>
      </c>
      <c r="B92" s="6" t="n">
        <v>10133</v>
      </c>
      <c r="C92" s="6" t="n">
        <v>10182</v>
      </c>
      <c r="D92" s="6" t="n">
        <v>10242</v>
      </c>
      <c r="E92" s="6" t="n">
        <v>10279</v>
      </c>
      <c r="F92" s="6" t="n">
        <v>10315</v>
      </c>
      <c r="G92" s="6" t="n">
        <v>10337</v>
      </c>
      <c r="H92" s="6" t="n">
        <v>10379</v>
      </c>
      <c r="I92" s="6" t="n">
        <v>10385</v>
      </c>
      <c r="J92" s="6" t="n">
        <v>10403</v>
      </c>
      <c r="K92" s="6" t="n">
        <v>10435</v>
      </c>
      <c r="L92" s="6" t="n">
        <v>10443</v>
      </c>
      <c r="M92" s="6" t="n">
        <v>10531</v>
      </c>
      <c r="N92" s="6" t="n">
        <f aca="false">AVERAGE(B92:M92)</f>
        <v>10338.6666666667</v>
      </c>
      <c r="O92" s="7" t="n">
        <f aca="false">(N92-N91)/N91</f>
        <v>0.0303634310012623</v>
      </c>
    </row>
    <row r="93" customFormat="false" ht="14.25" hidden="false" customHeight="false" outlineLevel="0" collapsed="false">
      <c r="A93" s="5" t="n">
        <v>2017</v>
      </c>
      <c r="B93" s="6" t="n">
        <v>10542</v>
      </c>
      <c r="C93" s="6" t="n">
        <v>10559</v>
      </c>
      <c r="D93" s="6" t="n">
        <v>10667</v>
      </c>
      <c r="E93" s="6" t="n">
        <v>10678</v>
      </c>
      <c r="F93" s="6" t="n">
        <v>10692</v>
      </c>
      <c r="G93" s="6" t="n">
        <v>10703</v>
      </c>
      <c r="H93" s="6" t="n">
        <v>10789</v>
      </c>
      <c r="I93" s="6" t="n">
        <v>10826</v>
      </c>
      <c r="J93" s="6" t="n">
        <v>10823</v>
      </c>
      <c r="K93" s="6" t="n">
        <v>10817</v>
      </c>
      <c r="L93" s="6" t="n">
        <v>10870</v>
      </c>
      <c r="M93" s="6" t="n">
        <v>10873</v>
      </c>
      <c r="N93" s="6" t="n">
        <f aca="false">AVERAGE(B93:M93)</f>
        <v>10736.5833333333</v>
      </c>
      <c r="O93" s="7" t="n">
        <f aca="false">(N93-N92)/N92</f>
        <v>0.0384881996388962</v>
      </c>
    </row>
    <row r="94" customFormat="false" ht="14.25" hidden="false" customHeight="false" outlineLevel="0" collapsed="false">
      <c r="A94" s="5" t="n">
        <v>2018</v>
      </c>
      <c r="B94" s="6" t="n">
        <v>10878</v>
      </c>
      <c r="C94" s="6" t="n">
        <v>10889</v>
      </c>
      <c r="D94" s="6" t="n">
        <v>10959</v>
      </c>
      <c r="E94" s="6" t="n">
        <v>10971</v>
      </c>
      <c r="F94" s="6" t="n">
        <v>11013</v>
      </c>
      <c r="G94" s="6" t="n">
        <v>11069</v>
      </c>
      <c r="H94" s="6" t="n">
        <v>11116</v>
      </c>
      <c r="I94" s="6" t="n">
        <v>11124</v>
      </c>
      <c r="J94" s="6" t="n">
        <v>11170</v>
      </c>
      <c r="K94" s="6" t="n">
        <v>11183</v>
      </c>
      <c r="L94" s="6" t="n">
        <v>11184</v>
      </c>
      <c r="M94" s="6" t="n">
        <v>11186</v>
      </c>
      <c r="N94" s="6" t="n">
        <f aca="false">AVERAGE(B94:M94)</f>
        <v>11061.8333333333</v>
      </c>
      <c r="O94" s="7" t="n">
        <f aca="false">(N94-N93)/N93</f>
        <v>0.030293622272759</v>
      </c>
    </row>
    <row r="95" customFormat="false" ht="14.25" hidden="false" customHeight="false" outlineLevel="0" collapsed="false">
      <c r="A95" s="5" t="n">
        <v>2019</v>
      </c>
      <c r="B95" s="6" t="n">
        <v>11206</v>
      </c>
      <c r="C95" s="6" t="n">
        <v>11213</v>
      </c>
      <c r="D95" s="6" t="n">
        <v>11228</v>
      </c>
      <c r="E95" s="6" t="n">
        <v>11228</v>
      </c>
      <c r="F95" s="6" t="n">
        <v>11230</v>
      </c>
      <c r="G95" s="6" t="n">
        <v>11268</v>
      </c>
      <c r="H95" s="6" t="n">
        <v>11293</v>
      </c>
      <c r="I95" s="6" t="n">
        <v>11311</v>
      </c>
      <c r="J95" s="6" t="n">
        <v>11311</v>
      </c>
      <c r="K95" s="6" t="n">
        <v>11326</v>
      </c>
      <c r="L95" s="6" t="n">
        <v>11381</v>
      </c>
      <c r="M95" s="6" t="n">
        <v>11381</v>
      </c>
      <c r="N95" s="6" t="n">
        <f aca="false">AVERAGE(B95:M95)</f>
        <v>11281.3333333333</v>
      </c>
      <c r="O95" s="7" t="n">
        <f aca="false">(N95-N94)/N94</f>
        <v>0.0198430037215049</v>
      </c>
    </row>
    <row r="96" customFormat="false" ht="14.25" hidden="false" customHeight="false" outlineLevel="0" collapsed="false">
      <c r="A96" s="5" t="n">
        <v>2020</v>
      </c>
      <c r="B96" s="6" t="n">
        <v>11392</v>
      </c>
      <c r="C96" s="6" t="n">
        <v>11396</v>
      </c>
      <c r="D96" s="6" t="n">
        <v>11397</v>
      </c>
      <c r="E96" s="6" t="n">
        <v>11412</v>
      </c>
      <c r="F96" s="6" t="n">
        <v>11418</v>
      </c>
      <c r="G96" s="6" t="n">
        <v>11436</v>
      </c>
      <c r="H96" s="6" t="n">
        <v>11439</v>
      </c>
      <c r="I96" s="6" t="n">
        <v>11455</v>
      </c>
      <c r="J96" s="6" t="n">
        <v>11499</v>
      </c>
      <c r="K96" s="6" t="n">
        <v>11539</v>
      </c>
      <c r="L96" s="6" t="n">
        <v>11579</v>
      </c>
      <c r="M96" s="6" t="n">
        <v>11626</v>
      </c>
      <c r="N96" s="6" t="n">
        <f aca="false">AVERAGE(B96:M96)</f>
        <v>11465.6666666667</v>
      </c>
      <c r="O96" s="7" t="n">
        <f aca="false">(N96-N95)/N95</f>
        <v>0.0163396761612102</v>
      </c>
    </row>
    <row r="97" customFormat="false" ht="14.25" hidden="false" customHeight="false" outlineLevel="0" collapsed="false">
      <c r="A97" s="5" t="n">
        <v>2021</v>
      </c>
      <c r="B97" s="6" t="n">
        <v>11627</v>
      </c>
      <c r="C97" s="6" t="n">
        <v>11698</v>
      </c>
      <c r="D97" s="6" t="n">
        <v>11749</v>
      </c>
      <c r="E97" s="6" t="n">
        <v>11849</v>
      </c>
      <c r="F97" s="6" t="n">
        <v>11989</v>
      </c>
      <c r="G97" s="6" t="n">
        <v>12112</v>
      </c>
      <c r="H97" s="6" t="n">
        <v>12237</v>
      </c>
      <c r="I97" s="6" t="n">
        <v>12463</v>
      </c>
      <c r="J97" s="6" t="n">
        <v>12464</v>
      </c>
      <c r="K97" s="6" t="n">
        <v>12464</v>
      </c>
      <c r="L97" s="6" t="n">
        <v>12467</v>
      </c>
      <c r="M97" s="6" t="n">
        <v>12481</v>
      </c>
      <c r="N97" s="6" t="n">
        <f aca="false">AVERAGE(B97:M97)</f>
        <v>12133.3333333333</v>
      </c>
      <c r="O97" s="7" t="n">
        <f aca="false">(N97-N96)/N96</f>
        <v>0.0582318225426637</v>
      </c>
    </row>
    <row r="98" customFormat="false" ht="14.25" hidden="false" customHeight="false" outlineLevel="0" collapsed="false">
      <c r="A98" s="5" t="n">
        <v>2022</v>
      </c>
      <c r="B98" s="6" t="n">
        <v>12556</v>
      </c>
      <c r="C98" s="6" t="n">
        <v>12684</v>
      </c>
      <c r="D98" s="6" t="n">
        <v>12791</v>
      </c>
      <c r="E98" s="6" t="n">
        <v>12899</v>
      </c>
      <c r="F98" s="6" t="n">
        <v>13004</v>
      </c>
      <c r="G98" s="6" t="n">
        <v>13111</v>
      </c>
      <c r="H98" s="6" t="n">
        <v>13168</v>
      </c>
      <c r="I98" s="6" t="n">
        <v>13171</v>
      </c>
      <c r="J98" s="6" t="n">
        <v>13173</v>
      </c>
      <c r="K98" s="6" t="n">
        <v>13175</v>
      </c>
      <c r="L98" s="6" t="n">
        <v>13175</v>
      </c>
      <c r="M98" s="6" t="n">
        <v>13175</v>
      </c>
      <c r="N98" s="6" t="n">
        <f aca="false">AVERAGE(B98:M98)</f>
        <v>13006.8333333333</v>
      </c>
      <c r="O98" s="7" t="n">
        <f aca="false">(N98-N97)/N97</f>
        <v>0.0719917582417582</v>
      </c>
    </row>
    <row r="99" customFormat="false" ht="14.25" hidden="false" customHeight="false" outlineLevel="0" collapsed="false">
      <c r="A99" s="5" t="n">
        <v>2023</v>
      </c>
      <c r="B99" s="6" t="n">
        <v>13175</v>
      </c>
      <c r="C99" s="6" t="n">
        <v>13176</v>
      </c>
      <c r="D99" s="6" t="n">
        <v>13176</v>
      </c>
      <c r="E99" s="6" t="n">
        <v>13230</v>
      </c>
      <c r="F99" s="6" t="n">
        <v>13288</v>
      </c>
      <c r="G99" s="6" t="n">
        <v>13345</v>
      </c>
      <c r="H99" s="6" t="n">
        <v>13425</v>
      </c>
      <c r="I99" s="6" t="n">
        <v>13473</v>
      </c>
      <c r="J99" s="6" t="n">
        <v>13486</v>
      </c>
      <c r="K99" s="6" t="n">
        <v>13498</v>
      </c>
      <c r="L99" s="6" t="n">
        <v>13511</v>
      </c>
      <c r="M99" s="6" t="n">
        <v>13515</v>
      </c>
      <c r="N99" s="6" t="n">
        <f aca="false">AVERAGE(B99:M99)</f>
        <v>13358.1666666667</v>
      </c>
      <c r="O99" s="7" t="n">
        <f aca="false">(N99-N98)/N98</f>
        <v>0.0270114427031944</v>
      </c>
    </row>
    <row r="100" customFormat="false" ht="14.25" hidden="false" customHeight="false" outlineLevel="0" collapsed="false">
      <c r="A100" s="5" t="n">
        <v>2024</v>
      </c>
      <c r="B100" s="6" t="n">
        <v>13515</v>
      </c>
      <c r="C100" s="6" t="n">
        <v>13518</v>
      </c>
      <c r="D100" s="6" t="n">
        <v>13532</v>
      </c>
      <c r="E100" s="6" t="n">
        <v>13532</v>
      </c>
      <c r="F100" s="6" t="n">
        <v>13532</v>
      </c>
      <c r="G100" s="6" t="n">
        <v>13547</v>
      </c>
      <c r="H100" s="6" t="n">
        <v>13556</v>
      </c>
      <c r="I100" s="6" t="n">
        <v>13556</v>
      </c>
      <c r="J100" s="6" t="n">
        <v>13594</v>
      </c>
      <c r="K100" s="6" t="n">
        <v>13632</v>
      </c>
      <c r="L100" s="6" t="n">
        <v>13632</v>
      </c>
      <c r="M100" s="6" t="n">
        <v>13632</v>
      </c>
      <c r="N100" s="6" t="n">
        <f aca="false">AVERAGE(B100:M100)</f>
        <v>13564.8333333333</v>
      </c>
      <c r="O100" s="7" t="n">
        <f aca="false">(N100-N99)/N99</f>
        <v>0.0154711849180901</v>
      </c>
    </row>
    <row r="101" customFormat="false" ht="14.25" hidden="false" customHeight="false" outlineLevel="0" collapsed="false">
      <c r="A101" s="5" t="n">
        <v>2025</v>
      </c>
      <c r="B101" s="6" t="n">
        <v>13732</v>
      </c>
      <c r="C101" s="6" t="n">
        <v>13766</v>
      </c>
      <c r="D101" s="6" t="n">
        <v>13783</v>
      </c>
      <c r="E101" s="6" t="n">
        <v>13798</v>
      </c>
      <c r="F101" s="6" t="n">
        <v>13839</v>
      </c>
      <c r="G101" s="6" t="n">
        <v>13871</v>
      </c>
      <c r="H101" s="6" t="n">
        <v>13893</v>
      </c>
      <c r="I101" s="6" t="n">
        <v>13914</v>
      </c>
      <c r="J101" s="6" t="n">
        <v>13928</v>
      </c>
      <c r="K101" s="6" t="n">
        <v>14074</v>
      </c>
      <c r="L101" s="6" t="n">
        <v>14098</v>
      </c>
      <c r="M101" s="6" t="n">
        <v>14119</v>
      </c>
      <c r="N101" s="6" t="n">
        <f aca="false">AVERAGE(B101:M101)</f>
        <v>13901.25</v>
      </c>
      <c r="O101" s="7" t="n">
        <f aca="false">(N101-N100)/N100</f>
        <v>0.0248006487363157</v>
      </c>
    </row>
    <row r="104" customFormat="false" ht="14.25" hidden="false" customHeight="false" outlineLevel="0" collapsed="false">
      <c r="B104" s="10" t="s">
        <v>17</v>
      </c>
    </row>
    <row r="106" customFormat="false" ht="14.25" hidden="false" customHeight="false" outlineLevel="0" collapsed="false">
      <c r="A106" s="11" t="s">
        <v>18</v>
      </c>
    </row>
    <row r="107" customFormat="false" ht="147.75" hidden="false" customHeight="false" outlineLevel="0" collapsed="false">
      <c r="A107" s="12" t="s">
        <v>19</v>
      </c>
      <c r="B107" s="13" t="s">
        <v>20</v>
      </c>
    </row>
    <row r="108" customFormat="false" ht="22.35" hidden="false" customHeight="false" outlineLevel="0" collapsed="false">
      <c r="A108" s="12" t="s">
        <v>21</v>
      </c>
      <c r="B108" s="13" t="s">
        <v>22</v>
      </c>
    </row>
    <row r="109" customFormat="false" ht="64.15" hidden="false" customHeight="false" outlineLevel="0" collapsed="false">
      <c r="A109" s="12" t="s">
        <v>23</v>
      </c>
      <c r="B109" s="13" t="s">
        <v>24</v>
      </c>
    </row>
    <row r="110" customFormat="false" ht="64.15" hidden="false" customHeight="false" outlineLevel="0" collapsed="false">
      <c r="A110" s="12" t="s">
        <v>25</v>
      </c>
      <c r="B110" s="13" t="s">
        <v>26</v>
      </c>
    </row>
    <row r="112" customFormat="false" ht="14.25" hidden="false" customHeight="false" outlineLevel="0" collapsed="false">
      <c r="A112" s="11" t="s">
        <v>27</v>
      </c>
    </row>
    <row r="113" customFormat="false" ht="74.6" hidden="false" customHeight="false" outlineLevel="0" collapsed="false">
      <c r="A113" s="12" t="s">
        <v>28</v>
      </c>
      <c r="B113" s="13" t="s">
        <v>29</v>
      </c>
    </row>
    <row r="114" customFormat="false" ht="64.15" hidden="false" customHeight="false" outlineLevel="0" collapsed="false">
      <c r="A114" s="12" t="s">
        <v>30</v>
      </c>
      <c r="B114" s="13" t="s">
        <v>31</v>
      </c>
    </row>
    <row r="116" customFormat="false" ht="14.25" hidden="false" customHeight="false" outlineLevel="0" collapsed="false">
      <c r="A116" s="11" t="s">
        <v>32</v>
      </c>
    </row>
    <row r="117" customFormat="false" ht="74.6" hidden="false" customHeight="false" outlineLevel="0" collapsed="false">
      <c r="A117" s="12" t="s">
        <v>33</v>
      </c>
      <c r="B117" s="13" t="s">
        <v>34</v>
      </c>
    </row>
    <row r="119" customFormat="false" ht="14.25" hidden="false" customHeight="false" outlineLevel="0" collapsed="false">
      <c r="A119" s="14" t="s">
        <v>35</v>
      </c>
      <c r="B119" s="1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2026-01-07T03:35:28Z</dcterms:created>
  <dc:creator>openpyxl</dc:creator>
  <dc:description/>
  <dc:language>en-US</dc:language>
  <cp:lastModifiedBy>D.G. Sherman</cp:lastModifiedBy>
  <dcterms:modified xsi:type="dcterms:W3CDTF">2026-04-24T01:05:35Z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